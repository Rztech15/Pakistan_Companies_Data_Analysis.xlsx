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3ba8fd38cec88/Dokumente/"/>
    </mc:Choice>
  </mc:AlternateContent>
  <xr:revisionPtr revIDLastSave="0" documentId="8_{99DAD964-95F4-4B75-B4EC-D84B669F5047}" xr6:coauthVersionLast="47" xr6:coauthVersionMax="47" xr10:uidLastSave="{00000000-0000-0000-0000-000000000000}"/>
  <bookViews>
    <workbookView xWindow="-120" yWindow="-120" windowWidth="20730" windowHeight="11160" xr2:uid="{68439B2D-B741-4286-8C47-3CC0DFF755D8}"/>
  </bookViews>
  <sheets>
    <sheet name="Company Data" sheetId="1" r:id="rId1"/>
    <sheet name="Dashboard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2" i="1"/>
  <c r="G3" i="1"/>
  <c r="G2" i="1"/>
  <c r="F3" i="1"/>
  <c r="F2" i="1"/>
</calcChain>
</file>

<file path=xl/sharedStrings.xml><?xml version="1.0" encoding="utf-8"?>
<sst xmlns="http://schemas.openxmlformats.org/spreadsheetml/2006/main" count="38" uniqueCount="36">
  <si>
    <t>OGDCL</t>
  </si>
  <si>
    <t>Lucky Cement</t>
  </si>
  <si>
    <t>Meezan Bank</t>
  </si>
  <si>
    <t>Company</t>
  </si>
  <si>
    <t>Revenue (PKR bn)</t>
  </si>
  <si>
    <t>Market Cap (USD bn)</t>
  </si>
  <si>
    <t>Notes</t>
  </si>
  <si>
    <t>PSO</t>
  </si>
  <si>
    <t>Energy leader with highest revenue in Pakistan</t>
  </si>
  <si>
    <t>One of the top oil &amp; gas producers</t>
  </si>
  <si>
    <t>HBL</t>
  </si>
  <si>
    <t>Major banking revenue contributor</t>
  </si>
  <si>
    <t>Cement sector leader</t>
  </si>
  <si>
    <t>UBL</t>
  </si>
  <si>
    <t>One of the largest banks by market cap</t>
  </si>
  <si>
    <t>Islamic banking leader</t>
  </si>
  <si>
    <t>Metric</t>
  </si>
  <si>
    <t>Revenue</t>
  </si>
  <si>
    <t>Market Cap</t>
  </si>
  <si>
    <t>Total</t>
  </si>
  <si>
    <t>Average</t>
  </si>
  <si>
    <t>Revenue % Total</t>
  </si>
  <si>
    <t>Market Cap % of Total</t>
  </si>
  <si>
    <t>Revenue Dominance:</t>
  </si>
  <si>
    <r>
      <t xml:space="preserve">Pakistan State Oil (PSO) has the </t>
    </r>
    <r>
      <rPr>
        <b/>
        <sz val="11"/>
        <color theme="1"/>
        <rFont val="Calibri"/>
        <family val="2"/>
        <scheme val="minor"/>
      </rPr>
      <t>highest revenue</t>
    </r>
    <r>
      <rPr>
        <sz val="11"/>
        <color theme="1"/>
        <rFont val="Calibri"/>
        <family val="2"/>
        <scheme val="minor"/>
      </rPr>
      <t xml:space="preserve"> among the top companies (~PKR 3.74 trillion), showing that the </t>
    </r>
    <r>
      <rPr>
        <b/>
        <sz val="11"/>
        <color theme="1"/>
        <rFont val="Calibri"/>
        <family val="2"/>
        <scheme val="minor"/>
      </rPr>
      <t>energy sector dominates Pakistan’s economy</t>
    </r>
    <r>
      <rPr>
        <sz val="11"/>
        <color theme="1"/>
        <rFont val="Calibri"/>
        <family val="2"/>
        <scheme val="minor"/>
      </rPr>
      <t>.</t>
    </r>
  </si>
  <si>
    <t>Banking Market Value:</t>
  </si>
  <si>
    <r>
      <t xml:space="preserve">United Bank Limited (UBL) has the </t>
    </r>
    <r>
      <rPr>
        <b/>
        <sz val="11"/>
        <color theme="1"/>
        <rFont val="Calibri"/>
        <family val="2"/>
        <scheme val="minor"/>
      </rPr>
      <t>highest market capitalization</t>
    </r>
    <r>
      <rPr>
        <sz val="11"/>
        <color theme="1"/>
        <rFont val="Calibri"/>
        <family val="2"/>
        <scheme val="minor"/>
      </rPr>
      <t xml:space="preserve"> (~$4.0 billion) despite lower revenue than PSO, indicating that </t>
    </r>
    <r>
      <rPr>
        <b/>
        <sz val="11"/>
        <color theme="1"/>
        <rFont val="Calibri"/>
        <family val="2"/>
        <scheme val="minor"/>
      </rPr>
      <t>investors highly value banking sector companies</t>
    </r>
    <r>
      <rPr>
        <sz val="11"/>
        <color theme="1"/>
        <rFont val="Calibri"/>
        <family val="2"/>
        <scheme val="minor"/>
      </rPr>
      <t>.</t>
    </r>
  </si>
  <si>
    <t>Sector Comparison:</t>
  </si>
  <si>
    <r>
      <t xml:space="preserve">Lucky Cement has a </t>
    </r>
    <r>
      <rPr>
        <b/>
        <sz val="11"/>
        <color theme="1"/>
        <rFont val="Calibri"/>
        <family val="2"/>
        <scheme val="minor"/>
      </rPr>
      <t>smaller revenue (~PKR 411 billion)</t>
    </r>
    <r>
      <rPr>
        <sz val="11"/>
        <color theme="1"/>
        <rFont val="Calibri"/>
        <family val="2"/>
        <scheme val="minor"/>
      </rPr>
      <t xml:space="preserve"> but a </t>
    </r>
    <r>
      <rPr>
        <b/>
        <sz val="11"/>
        <color theme="1"/>
        <rFont val="Calibri"/>
        <family val="2"/>
        <scheme val="minor"/>
      </rPr>
      <t>strong market cap (~$2.54 billion)</t>
    </r>
    <r>
      <rPr>
        <sz val="11"/>
        <color theme="1"/>
        <rFont val="Calibri"/>
        <family val="2"/>
        <scheme val="minor"/>
      </rPr>
      <t xml:space="preserve">, showing that </t>
    </r>
    <r>
      <rPr>
        <b/>
        <sz val="11"/>
        <color theme="1"/>
        <rFont val="Calibri"/>
        <family val="2"/>
        <scheme val="minor"/>
      </rPr>
      <t>cement companies can still be highly profitable and valued by investors</t>
    </r>
    <r>
      <rPr>
        <sz val="11"/>
        <color theme="1"/>
        <rFont val="Calibri"/>
        <family val="2"/>
        <scheme val="minor"/>
      </rPr>
      <t>.</t>
    </r>
  </si>
  <si>
    <t>Profit &amp; Growth Indicator:</t>
  </si>
  <si>
    <r>
      <t xml:space="preserve">OGDCL and HBL are </t>
    </r>
    <r>
      <rPr>
        <b/>
        <sz val="11"/>
        <color theme="1"/>
        <rFont val="Calibri"/>
        <family val="2"/>
        <scheme val="minor"/>
      </rPr>
      <t>important players</t>
    </r>
    <r>
      <rPr>
        <sz val="11"/>
        <color theme="1"/>
        <rFont val="Calibri"/>
        <family val="2"/>
        <scheme val="minor"/>
      </rPr>
      <t xml:space="preserve"> in oil &amp; gas and banking respectively, with </t>
    </r>
    <r>
      <rPr>
        <b/>
        <sz val="11"/>
        <color theme="1"/>
        <rFont val="Calibri"/>
        <family val="2"/>
        <scheme val="minor"/>
      </rPr>
      <t>moderate revenue and market cap</t>
    </r>
    <r>
      <rPr>
        <sz val="11"/>
        <color theme="1"/>
        <rFont val="Calibri"/>
        <family val="2"/>
        <scheme val="minor"/>
      </rPr>
      <t>, showing steady growth and market stability</t>
    </r>
  </si>
  <si>
    <t>PAKISTAN TOP COMPANIES DASHBOARD
 Revenue &amp; Market Cap Analysis</t>
  </si>
  <si>
    <t xml:space="preserve">Highest Market Cap  </t>
  </si>
  <si>
    <t xml:space="preserve">Total Revenue              </t>
  </si>
  <si>
    <t xml:space="preserve">Average Revenue            </t>
  </si>
  <si>
    <t xml:space="preserve">Highest Revenue Company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</si>
</sst>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0" borderId="0" xfId="0" applyFont="1" applyFill="1" applyAlignment="1">
      <alignment wrapText="1"/>
    </xf>
    <xf numFmtId="0" fontId="7" fillId="3" borderId="1" xfId="0" applyFont="1" applyFill="1" applyBorder="1"/>
    <xf numFmtId="0" fontId="8" fillId="3" borderId="2" xfId="0" applyFont="1" applyFill="1" applyBorder="1"/>
    <xf numFmtId="0" fontId="7" fillId="3" borderId="3" xfId="0" applyFont="1" applyFill="1" applyBorder="1"/>
    <xf numFmtId="0" fontId="8" fillId="3" borderId="4" xfId="0" applyFont="1" applyFill="1" applyBorder="1"/>
    <xf numFmtId="0" fontId="7" fillId="3" borderId="5" xfId="0" applyFont="1" applyFill="1" applyBorder="1"/>
    <xf numFmtId="0" fontId="8" fillId="3" borderId="6" xfId="0" applyFont="1" applyFill="1" applyBorder="1"/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B2B2B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Top Pakistan Companies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Data'!$A$2</c:f>
              <c:strCache>
                <c:ptCount val="1"/>
                <c:pt idx="0">
                  <c:v>PSO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Data'!$B$2</c:f>
              <c:numCache>
                <c:formatCode>General</c:formatCode>
                <c:ptCount val="1"/>
                <c:pt idx="0">
                  <c:v>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6-4424-80FF-A75B47EE6EB3}"/>
            </c:ext>
          </c:extLst>
        </c:ser>
        <c:ser>
          <c:idx val="1"/>
          <c:order val="1"/>
          <c:tx>
            <c:strRef>
              <c:f>'Company Data'!$A$3</c:f>
              <c:strCache>
                <c:ptCount val="1"/>
                <c:pt idx="0">
                  <c:v>OGDCL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Data'!$B$3</c:f>
              <c:numCache>
                <c:formatCode>General</c:formatCode>
                <c:ptCount val="1"/>
                <c:pt idx="0">
                  <c:v>463.7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6-4424-80FF-A75B47EE6EB3}"/>
            </c:ext>
          </c:extLst>
        </c:ser>
        <c:ser>
          <c:idx val="2"/>
          <c:order val="2"/>
          <c:tx>
            <c:strRef>
              <c:f>'Company Data'!$A$4</c:f>
              <c:strCache>
                <c:ptCount val="1"/>
                <c:pt idx="0">
                  <c:v>HBL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Data'!$B$4</c:f>
              <c:numCache>
                <c:formatCode>General</c:formatCode>
                <c:ptCount val="1"/>
                <c:pt idx="0">
                  <c:v>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6-4424-80FF-A75B47EE6EB3}"/>
            </c:ext>
          </c:extLst>
        </c:ser>
        <c:ser>
          <c:idx val="3"/>
          <c:order val="3"/>
          <c:tx>
            <c:strRef>
              <c:f>'Company Data'!$A$5</c:f>
              <c:strCache>
                <c:ptCount val="1"/>
                <c:pt idx="0">
                  <c:v>Lucky Cement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Data'!$B$5</c:f>
              <c:numCache>
                <c:formatCode>General</c:formatCode>
                <c:ptCount val="1"/>
                <c:pt idx="0">
                  <c:v>410.99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76-4424-80FF-A75B47EE6EB3}"/>
            </c:ext>
          </c:extLst>
        </c:ser>
        <c:ser>
          <c:idx val="4"/>
          <c:order val="4"/>
          <c:tx>
            <c:strRef>
              <c:f>'Company Data'!$A$6</c:f>
              <c:strCache>
                <c:ptCount val="1"/>
                <c:pt idx="0">
                  <c:v>UBL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Data'!$B$6</c:f>
              <c:numCache>
                <c:formatCode>General</c:formatCode>
                <c:ptCount val="1"/>
                <c:pt idx="0">
                  <c:v>244.47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76-4424-80FF-A75B47EE6EB3}"/>
            </c:ext>
          </c:extLst>
        </c:ser>
        <c:ser>
          <c:idx val="5"/>
          <c:order val="5"/>
          <c:tx>
            <c:strRef>
              <c:f>'Company Data'!$A$7</c:f>
              <c:strCache>
                <c:ptCount val="1"/>
                <c:pt idx="0">
                  <c:v>Meezan Bank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Data'!$B$7</c:f>
              <c:numCache>
                <c:formatCode>General</c:formatCode>
                <c:ptCount val="1"/>
                <c:pt idx="0">
                  <c:v>291.11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76-4424-80FF-A75B47EE6E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0039631"/>
        <c:axId val="1230038671"/>
      </c:barChart>
      <c:catAx>
        <c:axId val="123003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38671"/>
        <c:crosses val="autoZero"/>
        <c:auto val="1"/>
        <c:lblAlgn val="ctr"/>
        <c:lblOffset val="100"/>
        <c:noMultiLvlLbl val="0"/>
      </c:catAx>
      <c:valAx>
        <c:axId val="1230038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3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Capabilities by Top Pakistani Companies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Data'!$A$2</c:f>
              <c:strCache>
                <c:ptCount val="1"/>
                <c:pt idx="0">
                  <c:v>PSO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FE3-4E58-8717-FF9EA7CCED79}"/>
            </c:ext>
          </c:extLst>
        </c:ser>
        <c:ser>
          <c:idx val="1"/>
          <c:order val="1"/>
          <c:tx>
            <c:strRef>
              <c:f>'Company Data'!$A$3</c:f>
              <c:strCache>
                <c:ptCount val="1"/>
                <c:pt idx="0">
                  <c:v>OGDCL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Data'!$C$3</c:f>
              <c:numCache>
                <c:formatCode>General</c:formatCode>
                <c:ptCount val="1"/>
                <c:pt idx="0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3-4E58-8717-FF9EA7CCED79}"/>
            </c:ext>
          </c:extLst>
        </c:ser>
        <c:ser>
          <c:idx val="2"/>
          <c:order val="2"/>
          <c:tx>
            <c:strRef>
              <c:f>'Company Data'!$A$4</c:f>
              <c:strCache>
                <c:ptCount val="1"/>
                <c:pt idx="0">
                  <c:v>HBL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Data'!$C$4</c:f>
              <c:numCache>
                <c:formatCode>General</c:formatCode>
                <c:ptCount val="1"/>
                <c:pt idx="0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3-4E58-8717-FF9EA7CCED79}"/>
            </c:ext>
          </c:extLst>
        </c:ser>
        <c:ser>
          <c:idx val="3"/>
          <c:order val="3"/>
          <c:tx>
            <c:strRef>
              <c:f>'Company Data'!$A$5</c:f>
              <c:strCache>
                <c:ptCount val="1"/>
                <c:pt idx="0">
                  <c:v>Lucky Cement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Data'!$C$5</c:f>
              <c:numCache>
                <c:formatCode>General</c:formatCode>
                <c:ptCount val="1"/>
                <c:pt idx="0">
                  <c:v>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E3-4E58-8717-FF9EA7CCED79}"/>
            </c:ext>
          </c:extLst>
        </c:ser>
        <c:ser>
          <c:idx val="4"/>
          <c:order val="4"/>
          <c:tx>
            <c:strRef>
              <c:f>'Company Data'!$A$6</c:f>
              <c:strCache>
                <c:ptCount val="1"/>
                <c:pt idx="0">
                  <c:v>UBL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3-4E58-8717-FF9EA7CCED79}"/>
            </c:ext>
          </c:extLst>
        </c:ser>
        <c:ser>
          <c:idx val="5"/>
          <c:order val="5"/>
          <c:tx>
            <c:strRef>
              <c:f>'Company Data'!$A$7</c:f>
              <c:strCache>
                <c:ptCount val="1"/>
                <c:pt idx="0">
                  <c:v>Meezan Bank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Data'!$C$7</c:f>
              <c:numCache>
                <c:formatCode>General</c:formatCode>
                <c:ptCount val="1"/>
                <c:pt idx="0">
                  <c:v>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E3-4E58-8717-FF9EA7CCED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1521631"/>
        <c:axId val="1081522111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'Company Data'!$A$8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'Company Data'!$C$1</c15:sqref>
                        </c15:formulaRef>
                      </c:ext>
                    </c:extLst>
                    <c:strCache>
                      <c:ptCount val="1"/>
                      <c:pt idx="0">
                        <c:v>Market Cap (USD bn)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'Company Data'!$C$8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FE3-4E58-8717-FF9EA7CCED7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'Company Data'!$A$9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'Company Data'!$C$1</c15:sqref>
                        </c15:formulaRef>
                      </c:ext>
                    </c:extLst>
                    <c:strCache>
                      <c:ptCount val="1"/>
                      <c:pt idx="0">
                        <c:v>Market Cap (USD bn)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'Company Data'!$C$9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E3-4E58-8717-FF9EA7CCED79}"/>
                  </c:ext>
                </c:extLst>
              </c15:ser>
            </c15:filteredBarSeries>
          </c:ext>
        </c:extLst>
      </c:barChart>
      <c:catAx>
        <c:axId val="108152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22111"/>
        <c:crosses val="autoZero"/>
        <c:auto val="1"/>
        <c:lblAlgn val="ctr"/>
        <c:lblOffset val="100"/>
        <c:noMultiLvlLbl val="0"/>
      </c:catAx>
      <c:valAx>
        <c:axId val="10815221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2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800" b="1" i="0" u="none" strike="noStrike" kern="1200" cap="all" baseline="0">
                <a:solidFill>
                  <a:schemeClr val="tx1"/>
                </a:solidFill>
              </a:rPr>
              <a:t>Revenue Share of Top Pakistani Companies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800" b="1"/>
              <a:t> (PKR 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E4-4529-B9E1-09C03235201F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4E4-4529-B9E1-09C03235201F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E4-4529-B9E1-09C03235201F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4E4-4529-B9E1-09C03235201F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E4-4529-B9E1-09C03235201F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4E4-4529-B9E1-09C0323520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E4-4529-B9E1-09C0323520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E4E4-4529-B9E1-09C0323520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E4-4529-B9E1-09C0323520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E4E4-4529-B9E1-09C0323520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E4-4529-B9E1-09C0323520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E4E4-4529-B9E1-09C0323520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4E4-4529-B9E1-09C03235201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E4E4-4529-B9E1-09C03235201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4E4-4529-B9E1-09C03235201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E4E4-4529-B9E1-09C03235201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4E4-4529-B9E1-09C03235201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E4E4-4529-B9E1-09C03235201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4E4-4529-B9E1-09C03235201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E4E4-4529-B9E1-09C03235201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4E4-4529-B9E1-09C03235201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E4E4-4529-B9E1-09C03235201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4E4-4529-B9E1-09C03235201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E4E4-4529-B9E1-09C03235201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4E4-4529-B9E1-09C03235201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E4E4-4529-B9E1-09C03235201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4E4-4529-B9E1-09C03235201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E4E4-4529-B9E1-09C03235201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4E4-4529-B9E1-09C03235201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E4E4-4529-B9E1-09C03235201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  <a:alpha val="90000"/>
                </a:schemeClr>
              </a:solidFill>
              <a:ln w="19050">
                <a:solidFill>
                  <a:schemeClr val="accent1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4E4-4529-B9E1-09C03235201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  <a:alpha val="90000"/>
                </a:schemeClr>
              </a:solidFill>
              <a:ln w="19050">
                <a:solidFill>
                  <a:schemeClr val="accent2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E4E4-4529-B9E1-09C03235201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  <a:alpha val="90000"/>
                </a:schemeClr>
              </a:solidFill>
              <a:ln w="19050">
                <a:solidFill>
                  <a:schemeClr val="accent3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4E4-4529-B9E1-09C03235201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  <a:alpha val="90000"/>
                </a:schemeClr>
              </a:solidFill>
              <a:ln w="19050">
                <a:solidFill>
                  <a:schemeClr val="accent4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E4E4-4529-B9E1-09C03235201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  <a:alpha val="90000"/>
                </a:schemeClr>
              </a:solidFill>
              <a:ln w="19050">
                <a:solidFill>
                  <a:schemeClr val="accent5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E4E4-4529-B9E1-09C03235201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  <a:alpha val="90000"/>
                </a:schemeClr>
              </a:solidFill>
              <a:ln w="19050">
                <a:solidFill>
                  <a:schemeClr val="accent6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E4E4-4529-B9E1-09C03235201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  <a:alpha val="90000"/>
                </a:schemeClr>
              </a:solidFill>
              <a:ln w="19050">
                <a:solidFill>
                  <a:schemeClr val="accent1">
                    <a:lumMod val="70000"/>
                    <a:lumOff val="3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0000"/>
                    <a:lumOff val="3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E4E4-4529-B9E1-09C03235201F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4E4-4529-B9E1-09C03235201F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E4E4-4529-B9E1-09C03235201F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4E4-4529-B9E1-09C03235201F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E4E4-4529-B9E1-09C03235201F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4E4-4529-B9E1-09C03235201F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E4E4-4529-B9E1-09C03235201F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4E4-4529-B9E1-09C03235201F}"/>
                </c:ext>
              </c:extLst>
            </c:dLbl>
            <c:dLbl>
              <c:idx val="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E4E4-4529-B9E1-09C03235201F}"/>
                </c:ext>
              </c:extLst>
            </c:dLbl>
            <c:dLbl>
              <c:idx val="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4E4-4529-B9E1-09C03235201F}"/>
                </c:ext>
              </c:extLst>
            </c:dLbl>
            <c:dLbl>
              <c:idx val="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E4E4-4529-B9E1-09C03235201F}"/>
                </c:ext>
              </c:extLst>
            </c:dLbl>
            <c:dLbl>
              <c:idx val="1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4E4-4529-B9E1-09C03235201F}"/>
                </c:ext>
              </c:extLst>
            </c:dLbl>
            <c:dLbl>
              <c:idx val="1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E4E4-4529-B9E1-09C03235201F}"/>
                </c:ext>
              </c:extLst>
            </c:dLbl>
            <c:dLbl>
              <c:idx val="1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4E4-4529-B9E1-09C03235201F}"/>
                </c:ext>
              </c:extLst>
            </c:dLbl>
            <c:dLbl>
              <c:idx val="1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E4E4-4529-B9E1-09C03235201F}"/>
                </c:ext>
              </c:extLst>
            </c:dLbl>
            <c:dLbl>
              <c:idx val="1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4E4-4529-B9E1-09C03235201F}"/>
                </c:ext>
              </c:extLst>
            </c:dLbl>
            <c:dLbl>
              <c:idx val="1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E4E4-4529-B9E1-09C03235201F}"/>
                </c:ext>
              </c:extLst>
            </c:dLbl>
            <c:dLbl>
              <c:idx val="1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4E4-4529-B9E1-09C03235201F}"/>
                </c:ext>
              </c:extLst>
            </c:dLbl>
            <c:dLbl>
              <c:idx val="1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E4E4-4529-B9E1-09C03235201F}"/>
                </c:ext>
              </c:extLst>
            </c:dLbl>
            <c:dLbl>
              <c:idx val="1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4E4-4529-B9E1-09C03235201F}"/>
                </c:ext>
              </c:extLst>
            </c:dLbl>
            <c:dLbl>
              <c:idx val="1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E4E4-4529-B9E1-09C03235201F}"/>
                </c:ext>
              </c:extLst>
            </c:dLbl>
            <c:dLbl>
              <c:idx val="2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4E4-4529-B9E1-09C03235201F}"/>
                </c:ext>
              </c:extLst>
            </c:dLbl>
            <c:dLbl>
              <c:idx val="2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E4E4-4529-B9E1-09C03235201F}"/>
                </c:ext>
              </c:extLst>
            </c:dLbl>
            <c:dLbl>
              <c:idx val="2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4E4-4529-B9E1-09C03235201F}"/>
                </c:ext>
              </c:extLst>
            </c:dLbl>
            <c:dLbl>
              <c:idx val="2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E4E4-4529-B9E1-09C03235201F}"/>
                </c:ext>
              </c:extLst>
            </c:dLbl>
            <c:dLbl>
              <c:idx val="2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4E4-4529-B9E1-09C03235201F}"/>
                </c:ext>
              </c:extLst>
            </c:dLbl>
            <c:dLbl>
              <c:idx val="2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E4E4-4529-B9E1-09C03235201F}"/>
                </c:ext>
              </c:extLst>
            </c:dLbl>
            <c:dLbl>
              <c:idx val="2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4E4-4529-B9E1-09C03235201F}"/>
                </c:ext>
              </c:extLst>
            </c:dLbl>
            <c:dLbl>
              <c:idx val="2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E4E4-4529-B9E1-09C03235201F}"/>
                </c:ext>
              </c:extLst>
            </c:dLbl>
            <c:dLbl>
              <c:idx val="2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E4E4-4529-B9E1-09C03235201F}"/>
                </c:ext>
              </c:extLst>
            </c:dLbl>
            <c:dLbl>
              <c:idx val="2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E4E4-4529-B9E1-09C03235201F}"/>
                </c:ext>
              </c:extLst>
            </c:dLbl>
            <c:dLbl>
              <c:idx val="3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E4E4-4529-B9E1-09C03235201F}"/>
                </c:ext>
              </c:extLst>
            </c:dLbl>
            <c:dLbl>
              <c:idx val="3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E4E4-4529-B9E1-09C03235201F}"/>
                </c:ext>
              </c:extLst>
            </c:dLbl>
            <c:dLbl>
              <c:idx val="3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E4E4-4529-B9E1-09C03235201F}"/>
                </c:ext>
              </c:extLst>
            </c:dLbl>
            <c:dLbl>
              <c:idx val="3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2-E4E4-4529-B9E1-09C03235201F}"/>
                </c:ext>
              </c:extLst>
            </c:dLbl>
            <c:dLbl>
              <c:idx val="3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E4E4-4529-B9E1-09C03235201F}"/>
                </c:ext>
              </c:extLst>
            </c:dLbl>
            <c:dLbl>
              <c:idx val="3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4-E4E4-4529-B9E1-09C03235201F}"/>
                </c:ext>
              </c:extLst>
            </c:dLbl>
            <c:dLbl>
              <c:idx val="3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70000"/>
                      <a:lumOff val="3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0000"/>
                      <a:lumOff val="3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E4E4-4529-B9E1-09C03235201F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'Company Data'!$A$2:$A$38</c:f>
              <c:strCache>
                <c:ptCount val="37"/>
                <c:pt idx="0">
                  <c:v>PSO</c:v>
                </c:pt>
                <c:pt idx="1">
                  <c:v>OGDCL</c:v>
                </c:pt>
                <c:pt idx="2">
                  <c:v>HBL</c:v>
                </c:pt>
                <c:pt idx="3">
                  <c:v>Lucky Cement</c:v>
                </c:pt>
                <c:pt idx="4">
                  <c:v>UBL</c:v>
                </c:pt>
                <c:pt idx="5">
                  <c:v>Meezan Bank</c:v>
                </c:pt>
                <c:pt idx="22">
                  <c:v>Revenue Dominance:</c:v>
                </c:pt>
                <c:pt idx="24">
                  <c:v>Pakistan State Oil (PSO) has the highest revenue among the top companies (~PKR 3.74 trillion), showing that the energy sector dominates Pakistan’s economy.</c:v>
                </c:pt>
                <c:pt idx="26">
                  <c:v>Banking Market Value:</c:v>
                </c:pt>
                <c:pt idx="28">
                  <c:v>United Bank Limited (UBL) has the highest market capitalization (~$4.0 billion) despite lower revenue than PSO, indicating that investors highly value banking sector companies.</c:v>
                </c:pt>
                <c:pt idx="30">
                  <c:v>Sector Comparison:</c:v>
                </c:pt>
                <c:pt idx="32">
                  <c:v>Lucky Cement has a smaller revenue (~PKR 411 billion) but a strong market cap (~$2.54 billion), showing that cement companies can still be highly profitable and valued by investors.</c:v>
                </c:pt>
                <c:pt idx="34">
                  <c:v>Profit &amp; Growth Indicator:</c:v>
                </c:pt>
                <c:pt idx="36">
                  <c:v>OGDCL and HBL are important players in oil &amp; gas and banking respectively, with moderate revenue and market cap, showing steady growth and market stability</c:v>
                </c:pt>
              </c:strCache>
            </c:strRef>
          </c:cat>
          <c:val>
            <c:numRef>
              <c:f>'Company Data'!$B$2:$B$38</c:f>
              <c:numCache>
                <c:formatCode>General</c:formatCode>
                <c:ptCount val="37"/>
                <c:pt idx="0">
                  <c:v>3740</c:v>
                </c:pt>
                <c:pt idx="1">
                  <c:v>463.7</c:v>
                </c:pt>
                <c:pt idx="2">
                  <c:v>315.5</c:v>
                </c:pt>
                <c:pt idx="3">
                  <c:v>410.99</c:v>
                </c:pt>
                <c:pt idx="4">
                  <c:v>244.47</c:v>
                </c:pt>
                <c:pt idx="5">
                  <c:v>291.11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4-4529-B9E1-09C0323520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Top Pakistan Companies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Data'!$A$2</c:f>
              <c:strCache>
                <c:ptCount val="1"/>
                <c:pt idx="0">
                  <c:v>PSO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Data'!$B$2</c:f>
              <c:numCache>
                <c:formatCode>General</c:formatCode>
                <c:ptCount val="1"/>
                <c:pt idx="0">
                  <c:v>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2-4EB1-A4A8-FD19E883CA63}"/>
            </c:ext>
          </c:extLst>
        </c:ser>
        <c:ser>
          <c:idx val="1"/>
          <c:order val="1"/>
          <c:tx>
            <c:strRef>
              <c:f>'Company Data'!$A$3</c:f>
              <c:strCache>
                <c:ptCount val="1"/>
                <c:pt idx="0">
                  <c:v>OGDCL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Data'!$B$3</c:f>
              <c:numCache>
                <c:formatCode>General</c:formatCode>
                <c:ptCount val="1"/>
                <c:pt idx="0">
                  <c:v>463.7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2-4EB1-A4A8-FD19E883CA63}"/>
            </c:ext>
          </c:extLst>
        </c:ser>
        <c:ser>
          <c:idx val="2"/>
          <c:order val="2"/>
          <c:tx>
            <c:strRef>
              <c:f>'Company Data'!$A$4</c:f>
              <c:strCache>
                <c:ptCount val="1"/>
                <c:pt idx="0">
                  <c:v>HBL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Data'!$B$4</c:f>
              <c:numCache>
                <c:formatCode>General</c:formatCode>
                <c:ptCount val="1"/>
                <c:pt idx="0">
                  <c:v>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2-4EB1-A4A8-FD19E883CA63}"/>
            </c:ext>
          </c:extLst>
        </c:ser>
        <c:ser>
          <c:idx val="3"/>
          <c:order val="3"/>
          <c:tx>
            <c:strRef>
              <c:f>'Company Data'!$A$5</c:f>
              <c:strCache>
                <c:ptCount val="1"/>
                <c:pt idx="0">
                  <c:v>Lucky Cement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Data'!$B$5</c:f>
              <c:numCache>
                <c:formatCode>General</c:formatCode>
                <c:ptCount val="1"/>
                <c:pt idx="0">
                  <c:v>410.99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2-4EB1-A4A8-FD19E883CA63}"/>
            </c:ext>
          </c:extLst>
        </c:ser>
        <c:ser>
          <c:idx val="4"/>
          <c:order val="4"/>
          <c:tx>
            <c:strRef>
              <c:f>'Company Data'!$A$6</c:f>
              <c:strCache>
                <c:ptCount val="1"/>
                <c:pt idx="0">
                  <c:v>UBL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Data'!$B$6</c:f>
              <c:numCache>
                <c:formatCode>General</c:formatCode>
                <c:ptCount val="1"/>
                <c:pt idx="0">
                  <c:v>244.47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A2-4EB1-A4A8-FD19E883CA63}"/>
            </c:ext>
          </c:extLst>
        </c:ser>
        <c:ser>
          <c:idx val="5"/>
          <c:order val="5"/>
          <c:tx>
            <c:strRef>
              <c:f>'Company Data'!$A$7</c:f>
              <c:strCache>
                <c:ptCount val="1"/>
                <c:pt idx="0">
                  <c:v>Meezan Bank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cat>
          <c:val>
            <c:numRef>
              <c:f>'Company Data'!$B$7</c:f>
              <c:numCache>
                <c:formatCode>General</c:formatCode>
                <c:ptCount val="1"/>
                <c:pt idx="0">
                  <c:v>291.11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A2-4EB1-A4A8-FD19E883CA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0039631"/>
        <c:axId val="1230038671"/>
      </c:barChart>
      <c:catAx>
        <c:axId val="123003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38671"/>
        <c:crosses val="autoZero"/>
        <c:auto val="1"/>
        <c:lblAlgn val="ctr"/>
        <c:lblOffset val="100"/>
        <c:noMultiLvlLbl val="0"/>
      </c:catAx>
      <c:valAx>
        <c:axId val="1230038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3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Capitalization of Top Pakistani Companies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Data'!$A$2</c:f>
              <c:strCache>
                <c:ptCount val="1"/>
                <c:pt idx="0">
                  <c:v>PSO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AB0-468E-B589-47ECAD179CE1}"/>
            </c:ext>
          </c:extLst>
        </c:ser>
        <c:ser>
          <c:idx val="1"/>
          <c:order val="1"/>
          <c:tx>
            <c:strRef>
              <c:f>'Company Data'!$A$3</c:f>
              <c:strCache>
                <c:ptCount val="1"/>
                <c:pt idx="0">
                  <c:v>OGDCL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Data'!$C$3</c:f>
              <c:numCache>
                <c:formatCode>General</c:formatCode>
                <c:ptCount val="1"/>
                <c:pt idx="0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0-468E-B589-47ECAD179CE1}"/>
            </c:ext>
          </c:extLst>
        </c:ser>
        <c:ser>
          <c:idx val="2"/>
          <c:order val="2"/>
          <c:tx>
            <c:strRef>
              <c:f>'Company Data'!$A$4</c:f>
              <c:strCache>
                <c:ptCount val="1"/>
                <c:pt idx="0">
                  <c:v>HBL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Data'!$C$4</c:f>
              <c:numCache>
                <c:formatCode>General</c:formatCode>
                <c:ptCount val="1"/>
                <c:pt idx="0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B0-468E-B589-47ECAD179CE1}"/>
            </c:ext>
          </c:extLst>
        </c:ser>
        <c:ser>
          <c:idx val="3"/>
          <c:order val="3"/>
          <c:tx>
            <c:strRef>
              <c:f>'Company Data'!$A$5</c:f>
              <c:strCache>
                <c:ptCount val="1"/>
                <c:pt idx="0">
                  <c:v>Lucky Cement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Data'!$C$5</c:f>
              <c:numCache>
                <c:formatCode>General</c:formatCode>
                <c:ptCount val="1"/>
                <c:pt idx="0">
                  <c:v>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B0-468E-B589-47ECAD179CE1}"/>
            </c:ext>
          </c:extLst>
        </c:ser>
        <c:ser>
          <c:idx val="4"/>
          <c:order val="4"/>
          <c:tx>
            <c:strRef>
              <c:f>'Company Data'!$A$6</c:f>
              <c:strCache>
                <c:ptCount val="1"/>
                <c:pt idx="0">
                  <c:v>UBL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B0-468E-B589-47ECAD179CE1}"/>
            </c:ext>
          </c:extLst>
        </c:ser>
        <c:ser>
          <c:idx val="5"/>
          <c:order val="5"/>
          <c:tx>
            <c:strRef>
              <c:f>'Company Data'!$A$7</c:f>
              <c:strCache>
                <c:ptCount val="1"/>
                <c:pt idx="0">
                  <c:v>Meezan Bank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Data'!$C$1</c:f>
              <c:strCache>
                <c:ptCount val="1"/>
                <c:pt idx="0">
                  <c:v>Market Cap (USD bn)</c:v>
                </c:pt>
              </c:strCache>
            </c:strRef>
          </c:cat>
          <c:val>
            <c:numRef>
              <c:f>'Company Data'!$C$7</c:f>
              <c:numCache>
                <c:formatCode>General</c:formatCode>
                <c:ptCount val="1"/>
                <c:pt idx="0">
                  <c:v>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B0-468E-B589-47ECAD179C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1521631"/>
        <c:axId val="1081522111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'Company Data'!$A$8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'Company Data'!$C$1</c15:sqref>
                        </c15:formulaRef>
                      </c:ext>
                    </c:extLst>
                    <c:strCache>
                      <c:ptCount val="1"/>
                      <c:pt idx="0">
                        <c:v>Market Cap (USD bn)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'Company Data'!$C$8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AB0-468E-B589-47ECAD179CE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'Company Data'!$A$9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'Company Data'!$C$1</c15:sqref>
                        </c15:formulaRef>
                      </c:ext>
                    </c:extLst>
                    <c:strCache>
                      <c:ptCount val="1"/>
                      <c:pt idx="0">
                        <c:v>Market Cap (USD bn)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'Company Data'!$C$9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B0-468E-B589-47ECAD179CE1}"/>
                  </c:ext>
                </c:extLst>
              </c15:ser>
            </c15:filteredBarSeries>
          </c:ext>
        </c:extLst>
      </c:barChart>
      <c:catAx>
        <c:axId val="108152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22111"/>
        <c:crosses val="autoZero"/>
        <c:auto val="1"/>
        <c:lblAlgn val="ctr"/>
        <c:lblOffset val="100"/>
        <c:noMultiLvlLbl val="0"/>
      </c:catAx>
      <c:valAx>
        <c:axId val="10815221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2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>
                <a:solidFill>
                  <a:schemeClr val="tx1"/>
                </a:solidFill>
              </a:rPr>
              <a:t> Share of Top Pakistani 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189096709156771E-2"/>
          <c:y val="0.19846723752792256"/>
          <c:w val="0.87983831705255122"/>
          <c:h val="0.69278369322412503"/>
        </c:manualLayout>
      </c:layout>
      <c:pie3DChart>
        <c:varyColors val="1"/>
        <c:ser>
          <c:idx val="0"/>
          <c:order val="0"/>
          <c:tx>
            <c:strRef>
              <c:f>'Company Data'!$B$1</c:f>
              <c:strCache>
                <c:ptCount val="1"/>
                <c:pt idx="0">
                  <c:v>Revenue (PKR bn)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39-4244-AA67-10E61513B124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39-4244-AA67-10E61513B124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39-4244-AA67-10E61513B124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39-4244-AA67-10E61513B124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39-4244-AA67-10E61513B124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39-4244-AA67-10E61513B1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C39-4244-AA67-10E61513B1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C39-4244-AA67-10E61513B12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C39-4244-AA67-10E61513B12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C39-4244-AA67-10E61513B12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C39-4244-AA67-10E61513B12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C39-4244-AA67-10E61513B12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C39-4244-AA67-10E61513B12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9C39-4244-AA67-10E61513B12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9C39-4244-AA67-10E61513B12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9C39-4244-AA67-10E61513B12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9C39-4244-AA67-10E61513B12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9C39-4244-AA67-10E61513B12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9C39-4244-AA67-10E61513B12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9C39-4244-AA67-10E61513B12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9C39-4244-AA67-10E61513B12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9C39-4244-AA67-10E61513B12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9C39-4244-AA67-10E61513B12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9C39-4244-AA67-10E61513B12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9C39-4244-AA67-10E61513B12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9C39-4244-AA67-10E61513B12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9C39-4244-AA67-10E61513B12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9C39-4244-AA67-10E61513B12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9C39-4244-AA67-10E61513B12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9C39-4244-AA67-10E61513B12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  <a:alpha val="90000"/>
                </a:schemeClr>
              </a:solidFill>
              <a:ln w="19050">
                <a:solidFill>
                  <a:schemeClr val="accent1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9C39-4244-AA67-10E61513B12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  <a:alpha val="90000"/>
                </a:schemeClr>
              </a:solidFill>
              <a:ln w="19050">
                <a:solidFill>
                  <a:schemeClr val="accent2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9C39-4244-AA67-10E61513B124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  <a:alpha val="90000"/>
                </a:schemeClr>
              </a:solidFill>
              <a:ln w="19050">
                <a:solidFill>
                  <a:schemeClr val="accent3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9C39-4244-AA67-10E61513B124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  <a:alpha val="90000"/>
                </a:schemeClr>
              </a:solidFill>
              <a:ln w="19050">
                <a:solidFill>
                  <a:schemeClr val="accent4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9C39-4244-AA67-10E61513B124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  <a:alpha val="90000"/>
                </a:schemeClr>
              </a:solidFill>
              <a:ln w="19050">
                <a:solidFill>
                  <a:schemeClr val="accent5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9C39-4244-AA67-10E61513B12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  <a:alpha val="90000"/>
                </a:schemeClr>
              </a:solidFill>
              <a:ln w="19050">
                <a:solidFill>
                  <a:schemeClr val="accent6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9C39-4244-AA67-10E61513B12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  <a:alpha val="90000"/>
                </a:schemeClr>
              </a:solidFill>
              <a:ln w="19050">
                <a:solidFill>
                  <a:schemeClr val="accent1">
                    <a:lumMod val="70000"/>
                    <a:lumOff val="3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0000"/>
                    <a:lumOff val="3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9C39-4244-AA67-10E61513B124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C39-4244-AA67-10E61513B124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C39-4244-AA67-10E61513B124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C39-4244-AA67-10E61513B124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C39-4244-AA67-10E61513B124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C39-4244-AA67-10E61513B124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C39-4244-AA67-10E61513B124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C39-4244-AA67-10E61513B124}"/>
                </c:ext>
              </c:extLst>
            </c:dLbl>
            <c:dLbl>
              <c:idx val="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C39-4244-AA67-10E61513B124}"/>
                </c:ext>
              </c:extLst>
            </c:dLbl>
            <c:dLbl>
              <c:idx val="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C39-4244-AA67-10E61513B124}"/>
                </c:ext>
              </c:extLst>
            </c:dLbl>
            <c:dLbl>
              <c:idx val="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C39-4244-AA67-10E61513B124}"/>
                </c:ext>
              </c:extLst>
            </c:dLbl>
            <c:dLbl>
              <c:idx val="1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C39-4244-AA67-10E61513B124}"/>
                </c:ext>
              </c:extLst>
            </c:dLbl>
            <c:dLbl>
              <c:idx val="1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C39-4244-AA67-10E61513B124}"/>
                </c:ext>
              </c:extLst>
            </c:dLbl>
            <c:dLbl>
              <c:idx val="1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9C39-4244-AA67-10E61513B124}"/>
                </c:ext>
              </c:extLst>
            </c:dLbl>
            <c:dLbl>
              <c:idx val="1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9C39-4244-AA67-10E61513B124}"/>
                </c:ext>
              </c:extLst>
            </c:dLbl>
            <c:dLbl>
              <c:idx val="1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9C39-4244-AA67-10E61513B124}"/>
                </c:ext>
              </c:extLst>
            </c:dLbl>
            <c:dLbl>
              <c:idx val="1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9C39-4244-AA67-10E61513B124}"/>
                </c:ext>
              </c:extLst>
            </c:dLbl>
            <c:dLbl>
              <c:idx val="1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9C39-4244-AA67-10E61513B124}"/>
                </c:ext>
              </c:extLst>
            </c:dLbl>
            <c:dLbl>
              <c:idx val="1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9C39-4244-AA67-10E61513B124}"/>
                </c:ext>
              </c:extLst>
            </c:dLbl>
            <c:dLbl>
              <c:idx val="1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9C39-4244-AA67-10E61513B124}"/>
                </c:ext>
              </c:extLst>
            </c:dLbl>
            <c:dLbl>
              <c:idx val="1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9C39-4244-AA67-10E61513B124}"/>
                </c:ext>
              </c:extLst>
            </c:dLbl>
            <c:dLbl>
              <c:idx val="2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9C39-4244-AA67-10E61513B124}"/>
                </c:ext>
              </c:extLst>
            </c:dLbl>
            <c:dLbl>
              <c:idx val="2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9C39-4244-AA67-10E61513B124}"/>
                </c:ext>
              </c:extLst>
            </c:dLbl>
            <c:dLbl>
              <c:idx val="2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9C39-4244-AA67-10E61513B124}"/>
                </c:ext>
              </c:extLst>
            </c:dLbl>
            <c:dLbl>
              <c:idx val="2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8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8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9C39-4244-AA67-10E61513B124}"/>
                </c:ext>
              </c:extLst>
            </c:dLbl>
            <c:dLbl>
              <c:idx val="2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9C39-4244-AA67-10E61513B124}"/>
                </c:ext>
              </c:extLst>
            </c:dLbl>
            <c:dLbl>
              <c:idx val="2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9C39-4244-AA67-10E61513B124}"/>
                </c:ext>
              </c:extLst>
            </c:dLbl>
            <c:dLbl>
              <c:idx val="2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9C39-4244-AA67-10E61513B124}"/>
                </c:ext>
              </c:extLst>
            </c:dLbl>
            <c:dLbl>
              <c:idx val="2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9C39-4244-AA67-10E61513B124}"/>
                </c:ext>
              </c:extLst>
            </c:dLbl>
            <c:dLbl>
              <c:idx val="2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9C39-4244-AA67-10E61513B124}"/>
                </c:ext>
              </c:extLst>
            </c:dLbl>
            <c:dLbl>
              <c:idx val="2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Off val="4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9C39-4244-AA67-10E61513B124}"/>
                </c:ext>
              </c:extLst>
            </c:dLbl>
            <c:dLbl>
              <c:idx val="3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9C39-4244-AA67-10E61513B124}"/>
                </c:ext>
              </c:extLst>
            </c:dLbl>
            <c:dLbl>
              <c:idx val="3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9C39-4244-AA67-10E61513B124}"/>
                </c:ext>
              </c:extLst>
            </c:dLbl>
            <c:dLbl>
              <c:idx val="3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1-9C39-4244-AA67-10E61513B124}"/>
                </c:ext>
              </c:extLst>
            </c:dLbl>
            <c:dLbl>
              <c:idx val="3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3-9C39-4244-AA67-10E61513B124}"/>
                </c:ext>
              </c:extLst>
            </c:dLbl>
            <c:dLbl>
              <c:idx val="3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5-9C39-4244-AA67-10E61513B124}"/>
                </c:ext>
              </c:extLst>
            </c:dLbl>
            <c:dLbl>
              <c:idx val="3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7-9C39-4244-AA67-10E61513B124}"/>
                </c:ext>
              </c:extLst>
            </c:dLbl>
            <c:dLbl>
              <c:idx val="3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70000"/>
                      <a:lumOff val="3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0000"/>
                      <a:lumOff val="3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9-9C39-4244-AA67-10E61513B124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'Company Data'!$A$2:$A$38</c:f>
              <c:strCache>
                <c:ptCount val="37"/>
                <c:pt idx="0">
                  <c:v>PSO</c:v>
                </c:pt>
                <c:pt idx="1">
                  <c:v>OGDCL</c:v>
                </c:pt>
                <c:pt idx="2">
                  <c:v>HBL</c:v>
                </c:pt>
                <c:pt idx="3">
                  <c:v>Lucky Cement</c:v>
                </c:pt>
                <c:pt idx="4">
                  <c:v>UBL</c:v>
                </c:pt>
                <c:pt idx="5">
                  <c:v>Meezan Bank</c:v>
                </c:pt>
                <c:pt idx="22">
                  <c:v>Revenue Dominance:</c:v>
                </c:pt>
                <c:pt idx="24">
                  <c:v>Pakistan State Oil (PSO) has the highest revenue among the top companies (~PKR 3.74 trillion), showing that the energy sector dominates Pakistan’s economy.</c:v>
                </c:pt>
                <c:pt idx="26">
                  <c:v>Banking Market Value:</c:v>
                </c:pt>
                <c:pt idx="28">
                  <c:v>United Bank Limited (UBL) has the highest market capitalization (~$4.0 billion) despite lower revenue than PSO, indicating that investors highly value banking sector companies.</c:v>
                </c:pt>
                <c:pt idx="30">
                  <c:v>Sector Comparison:</c:v>
                </c:pt>
                <c:pt idx="32">
                  <c:v>Lucky Cement has a smaller revenue (~PKR 411 billion) but a strong market cap (~$2.54 billion), showing that cement companies can still be highly profitable and valued by investors.</c:v>
                </c:pt>
                <c:pt idx="34">
                  <c:v>Profit &amp; Growth Indicator:</c:v>
                </c:pt>
                <c:pt idx="36">
                  <c:v>OGDCL and HBL are important players in oil &amp; gas and banking respectively, with moderate revenue and market cap, showing steady growth and market stability</c:v>
                </c:pt>
              </c:strCache>
            </c:strRef>
          </c:cat>
          <c:val>
            <c:numRef>
              <c:f>'Company Data'!$B$2:$B$38</c:f>
              <c:numCache>
                <c:formatCode>General</c:formatCode>
                <c:ptCount val="37"/>
                <c:pt idx="0">
                  <c:v>3740</c:v>
                </c:pt>
                <c:pt idx="1">
                  <c:v>463.7</c:v>
                </c:pt>
                <c:pt idx="2">
                  <c:v>315.5</c:v>
                </c:pt>
                <c:pt idx="3">
                  <c:v>410.99</c:v>
                </c:pt>
                <c:pt idx="4">
                  <c:v>244.47</c:v>
                </c:pt>
                <c:pt idx="5">
                  <c:v>291.11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9C39-4244-AA67-10E61513B12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6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11206</xdr:rowOff>
    </xdr:from>
    <xdr:to>
      <xdr:col>3</xdr:col>
      <xdr:colOff>1219200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4D4A3-3F3B-FF3E-45B3-6FBE16B6A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</xdr:row>
      <xdr:rowOff>347382</xdr:rowOff>
    </xdr:from>
    <xdr:to>
      <xdr:col>8</xdr:col>
      <xdr:colOff>28575</xdr:colOff>
      <xdr:row>22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369966-545E-C03A-ECF4-3C0832309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11206</xdr:colOff>
      <xdr:row>2</xdr:row>
      <xdr:rowOff>358589</xdr:rowOff>
    </xdr:from>
    <xdr:to>
      <xdr:col>6</xdr:col>
      <xdr:colOff>874059</xdr:colOff>
      <xdr:row>6</xdr:row>
      <xdr:rowOff>369794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0208AA-35B1-42B1-AC16-9A511AB9F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180975</xdr:rowOff>
    </xdr:from>
    <xdr:to>
      <xdr:col>6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ADA85-D9EC-42D2-8683-0D6E8EDF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22412</xdr:colOff>
      <xdr:row>18</xdr:row>
      <xdr:rowOff>0</xdr:rowOff>
    </xdr:from>
    <xdr:to>
      <xdr:col>11</xdr:col>
      <xdr:colOff>593352</xdr:colOff>
      <xdr:row>30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D46509-1962-4A38-8E5E-6B04C8BCC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190500</xdr:colOff>
      <xdr:row>0</xdr:row>
      <xdr:rowOff>152400</xdr:rowOff>
    </xdr:from>
    <xdr:to>
      <xdr:col>0</xdr:col>
      <xdr:colOff>1019175</xdr:colOff>
      <xdr:row>3</xdr:row>
      <xdr:rowOff>123065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E1AB71-55BA-0FF8-47CF-8ECE10EF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52400"/>
          <a:ext cx="828675" cy="54216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161924</xdr:colOff>
      <xdr:row>0</xdr:row>
      <xdr:rowOff>161926</xdr:rowOff>
    </xdr:from>
    <xdr:to>
      <xdr:col>11</xdr:col>
      <xdr:colOff>419100</xdr:colOff>
      <xdr:row>3</xdr:row>
      <xdr:rowOff>140495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0E6F65-D055-0C53-D990-7FC4E8A74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7924" y="161926"/>
          <a:ext cx="866775" cy="550069"/>
        </a:xfrm>
        <a:prstGeom prst="rect">
          <a:avLst/>
        </a:prstGeom>
      </xdr:spPr>
    </xdr:pic>
    <xdr:clientData/>
  </xdr:twoCellAnchor>
  <xdr:twoCellAnchor>
    <xdr:from>
      <xdr:col>2</xdr:col>
      <xdr:colOff>34636</xdr:colOff>
      <xdr:row>4</xdr:row>
      <xdr:rowOff>20731</xdr:rowOff>
    </xdr:from>
    <xdr:to>
      <xdr:col>12</xdr:col>
      <xdr:colOff>7843</xdr:colOff>
      <xdr:row>18</xdr:row>
      <xdr:rowOff>17319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F5BF8B-23EC-4C70-90B7-7BBD31C8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30</xdr:row>
      <xdr:rowOff>11205</xdr:rowOff>
    </xdr:from>
    <xdr:to>
      <xdr:col>12</xdr:col>
      <xdr:colOff>11206</xdr:colOff>
      <xdr:row>34</xdr:row>
      <xdr:rowOff>89646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5F1726-BFE8-A994-BA10-0D60EC2D3AFF}"/>
            </a:ext>
          </a:extLst>
        </xdr:cNvPr>
        <xdr:cNvSpPr/>
      </xdr:nvSpPr>
      <xdr:spPr>
        <a:xfrm>
          <a:off x="0" y="5748617"/>
          <a:ext cx="8482853" cy="84044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Data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>
              <a:solidFill>
                <a:sysClr val="windowText" lastClr="000000"/>
              </a:solidFill>
            </a:rPr>
            <a:t>Source</a:t>
          </a:r>
          <a:r>
            <a:rPr lang="en-US" sz="1400">
              <a:solidFill>
                <a:sysClr val="windowText" lastClr="000000"/>
              </a:solidFill>
            </a:rPr>
            <a:t>: Public financial reports of Pakistani companies</a:t>
          </a:r>
        </a:p>
        <a:p>
          <a:pPr algn="l"/>
          <a:r>
            <a:rPr lang="en-US" sz="1400" b="1">
              <a:solidFill>
                <a:sysClr val="windowText" lastClr="000000"/>
              </a:solidFill>
            </a:rPr>
            <a:t>Dashboard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>
              <a:solidFill>
                <a:sysClr val="windowText" lastClr="000000"/>
              </a:solidFill>
            </a:rPr>
            <a:t>Created</a:t>
          </a:r>
          <a:r>
            <a:rPr lang="en-US" sz="1400">
              <a:solidFill>
                <a:sysClr val="windowText" lastClr="000000"/>
              </a:solidFill>
            </a:rPr>
            <a:t> </a:t>
          </a:r>
          <a:r>
            <a:rPr lang="en-US" sz="1400" b="1">
              <a:solidFill>
                <a:sysClr val="windowText" lastClr="000000"/>
              </a:solidFill>
            </a:rPr>
            <a:t>by</a:t>
          </a:r>
          <a:r>
            <a:rPr lang="en-US" sz="1400">
              <a:solidFill>
                <a:sysClr val="windowText" lastClr="000000"/>
              </a:solidFill>
            </a:rPr>
            <a:t>: Muhammad Ramzan</a:t>
          </a:r>
        </a:p>
        <a:p>
          <a:pPr algn="l"/>
          <a:r>
            <a:rPr lang="en-US" sz="1400" b="1">
              <a:solidFill>
                <a:schemeClr val="tx1"/>
              </a:solidFill>
            </a:rPr>
            <a:t>Tool</a:t>
          </a:r>
          <a:r>
            <a:rPr lang="en-US" sz="1400">
              <a:solidFill>
                <a:schemeClr val="tx1"/>
              </a:solidFill>
            </a:rPr>
            <a:t> </a:t>
          </a:r>
          <a:r>
            <a:rPr lang="en-US" sz="1400" b="1">
              <a:solidFill>
                <a:schemeClr val="tx1"/>
              </a:solidFill>
            </a:rPr>
            <a:t>Used</a:t>
          </a:r>
          <a:r>
            <a:rPr lang="en-US" sz="1400">
              <a:solidFill>
                <a:schemeClr val="tx1"/>
              </a:solidFill>
            </a:rPr>
            <a:t>: Microsoft Excel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0.6955</cdr:x>
      <cdr:y>0.23426</cdr:y>
    </cdr:from>
    <cdr:to>
      <cdr:x>1</cdr:x>
      <cdr:y>0.84753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D3C56E7-D262-1931-5AB4-F7508207CAAC}"/>
            </a:ext>
          </a:extLst>
        </cdr:cNvPr>
        <cdr:cNvSpPr/>
      </cdr:nvSpPr>
      <cdr:spPr>
        <a:xfrm xmlns:a="http://schemas.openxmlformats.org/drawingml/2006/main">
          <a:off x="4189981" y="629210"/>
          <a:ext cx="1834402" cy="164726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400" kern="1200"/>
            <a:t>PSO contributes the largest share of revenue (68%), </a:t>
          </a:r>
        </a:p>
        <a:p xmlns:a="http://schemas.openxmlformats.org/drawingml/2006/main">
          <a:r>
            <a:rPr lang="en-US" sz="1400" kern="1200"/>
            <a:t>showing strong dominance in Pakistan’s energy sector.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B5CC7-F986-4066-9208-ABDFB1F4CF6C}" name="Table1" displayName="Table1" ref="A1:D7" totalsRowShown="0" headerRowDxfId="9" dataDxfId="8">
  <autoFilter ref="A1:D7" xr:uid="{4CDB5CC7-F986-4066-9208-ABDFB1F4CF6C}"/>
  <tableColumns count="4">
    <tableColumn id="1" xr3:uid="{A5BFD1E0-0DA5-4881-8A73-82C1DC17202C}" name="Company" dataDxfId="7"/>
    <tableColumn id="2" xr3:uid="{A4988657-9349-4074-A89B-CB8BE899EFBC}" name="Revenue (PKR bn)" dataDxfId="6"/>
    <tableColumn id="3" xr3:uid="{C9E991D8-5AA0-4ED1-AB5A-681A90C05274}" name="Market Cap (USD bn)" dataDxfId="5"/>
    <tableColumn id="4" xr3:uid="{14B15021-F4B5-439D-BA60-0238DCC0FC70}" name="Not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A60FA8-C271-4B80-90B1-BD9A5A266A80}" name="Table47" displayName="Table47" ref="H1:H4" totalsRowShown="0">
  <autoFilter ref="H1:H4" xr:uid="{7EA60FA8-C271-4B80-90B1-BD9A5A266A80}"/>
  <tableColumns count="1">
    <tableColumn id="1" xr3:uid="{519BC237-C624-43B4-B41D-AE87C5E316AC}" name="Revenue %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E322C6-7377-4350-BB8D-30909C407352}" name="Table7" displayName="Table7" ref="E1:G3" totalsRowShown="0" dataDxfId="3">
  <autoFilter ref="E1:G3" xr:uid="{CAE322C6-7377-4350-BB8D-30909C407352}"/>
  <tableColumns count="3">
    <tableColumn id="1" xr3:uid="{2965550F-CFC7-4FA8-933D-6BB392912CB1}" name="Metric" dataDxfId="2"/>
    <tableColumn id="2" xr3:uid="{9988F73E-3FAC-46E4-B571-AFBF685E9C3C}" name="Revenue" dataDxfId="1">
      <calculatedColumnFormula>AVERAGE(B1:B6)</calculatedColumnFormula>
    </tableColumn>
    <tableColumn id="3" xr3:uid="{34F78E7E-A251-4332-89F1-E370056557D0}" name="Market Cap" dataDxfId="0">
      <calculatedColumnFormula>AVERAGE(C1:C6)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9687F2-D278-4CAF-9C95-E5F7183886CE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B6BB-45DE-463D-88AC-33876D97D144}">
  <dimension ref="A1:K38"/>
  <sheetViews>
    <sheetView tabSelected="1" zoomScale="85" zoomScaleNormal="85" workbookViewId="0">
      <selection activeCell="H6" sqref="H6"/>
    </sheetView>
  </sheetViews>
  <sheetFormatPr defaultRowHeight="15"/>
  <cols>
    <col min="1" max="1" width="18" customWidth="1"/>
    <col min="2" max="2" width="19" customWidth="1"/>
    <col min="3" max="3" width="21.5703125" customWidth="1"/>
    <col min="4" max="4" width="18.5703125" customWidth="1"/>
    <col min="5" max="5" width="12.5703125" customWidth="1"/>
    <col min="6" max="6" width="19.140625" customWidth="1"/>
    <col min="7" max="7" width="13.28515625" customWidth="1"/>
    <col min="8" max="8" width="23.140625" customWidth="1"/>
    <col min="9" max="9" width="13.28515625" customWidth="1"/>
    <col min="11" max="11" width="23.14062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16</v>
      </c>
      <c r="F1" s="4" t="s">
        <v>17</v>
      </c>
      <c r="G1" s="1" t="s">
        <v>18</v>
      </c>
      <c r="H1" t="s">
        <v>21</v>
      </c>
      <c r="I1" s="1"/>
    </row>
    <row r="2" spans="1:11" ht="45">
      <c r="A2" s="2" t="s">
        <v>7</v>
      </c>
      <c r="B2" s="2">
        <v>3740</v>
      </c>
      <c r="C2" s="3"/>
      <c r="D2" s="2" t="s">
        <v>8</v>
      </c>
      <c r="E2" s="2" t="s">
        <v>19</v>
      </c>
      <c r="F2" s="2">
        <f>SUM(B2:B7)</f>
        <v>5465.7699999999995</v>
      </c>
      <c r="G2" s="2">
        <f>SUM(C2:C7)</f>
        <v>14.41</v>
      </c>
      <c r="H2" s="5">
        <f>B2/SUM($B$2:$B$7)</f>
        <v>0.68425857655920397</v>
      </c>
      <c r="I2" s="2"/>
      <c r="K2" s="5"/>
    </row>
    <row r="3" spans="1:11" ht="30">
      <c r="A3" s="2" t="s">
        <v>0</v>
      </c>
      <c r="B3" s="2">
        <v>463.7</v>
      </c>
      <c r="C3" s="2">
        <v>3.35</v>
      </c>
      <c r="D3" s="2" t="s">
        <v>9</v>
      </c>
      <c r="E3" s="2" t="s">
        <v>20</v>
      </c>
      <c r="F3" s="2">
        <f>AVERAGE(B2:B7)</f>
        <v>910.96166666666659</v>
      </c>
      <c r="G3" s="2">
        <f>AVERAGE(C2:C7)</f>
        <v>2.8820000000000001</v>
      </c>
      <c r="H3" t="s">
        <v>22</v>
      </c>
      <c r="I3" s="2"/>
    </row>
    <row r="4" spans="1:11" ht="45">
      <c r="A4" s="2" t="s">
        <v>10</v>
      </c>
      <c r="B4" s="2">
        <v>315.5</v>
      </c>
      <c r="C4" s="2">
        <v>1.68</v>
      </c>
      <c r="D4" s="2" t="s">
        <v>11</v>
      </c>
      <c r="F4" s="2"/>
      <c r="H4" s="5">
        <f>C2/SUM($C$2:$C$7)</f>
        <v>0</v>
      </c>
      <c r="K4" s="5"/>
    </row>
    <row r="5" spans="1:11" ht="30">
      <c r="A5" s="2" t="s">
        <v>1</v>
      </c>
      <c r="B5" s="2">
        <v>410.99</v>
      </c>
      <c r="C5" s="2">
        <v>2.54</v>
      </c>
      <c r="D5" s="2" t="s">
        <v>12</v>
      </c>
    </row>
    <row r="6" spans="1:11" ht="45">
      <c r="A6" s="2" t="s">
        <v>13</v>
      </c>
      <c r="B6" s="2">
        <v>244.47</v>
      </c>
      <c r="C6" s="2">
        <v>4</v>
      </c>
      <c r="D6" s="2" t="s">
        <v>14</v>
      </c>
    </row>
    <row r="7" spans="1:11" ht="30">
      <c r="A7" s="2" t="s">
        <v>2</v>
      </c>
      <c r="B7" s="2">
        <v>291.11</v>
      </c>
      <c r="C7" s="2">
        <v>2.84</v>
      </c>
      <c r="D7" s="2" t="s">
        <v>15</v>
      </c>
    </row>
    <row r="8" spans="1:11">
      <c r="A8" s="2"/>
      <c r="B8" s="2"/>
      <c r="C8" s="3"/>
      <c r="D8" s="3"/>
    </row>
    <row r="9" spans="1:11">
      <c r="A9" s="2"/>
      <c r="B9" s="2"/>
      <c r="C9" s="3"/>
      <c r="D9" s="3"/>
    </row>
    <row r="24" spans="1:1">
      <c r="A24" s="4" t="s">
        <v>23</v>
      </c>
    </row>
    <row r="25" spans="1:1">
      <c r="A25" s="6"/>
    </row>
    <row r="26" spans="1:1">
      <c r="A26" s="6" t="s">
        <v>24</v>
      </c>
    </row>
    <row r="28" spans="1:1">
      <c r="A28" s="4" t="s">
        <v>25</v>
      </c>
    </row>
    <row r="29" spans="1:1">
      <c r="A29" s="6"/>
    </row>
    <row r="30" spans="1:1">
      <c r="A30" s="6" t="s">
        <v>26</v>
      </c>
    </row>
    <row r="32" spans="1:1">
      <c r="A32" s="4" t="s">
        <v>27</v>
      </c>
    </row>
    <row r="33" spans="1:1">
      <c r="A33" s="6"/>
    </row>
    <row r="34" spans="1:1">
      <c r="A34" s="6" t="s">
        <v>28</v>
      </c>
    </row>
    <row r="36" spans="1:1">
      <c r="A36" s="4" t="s">
        <v>29</v>
      </c>
    </row>
    <row r="37" spans="1:1">
      <c r="A37" s="6"/>
    </row>
    <row r="38" spans="1:1">
      <c r="A38" s="6" t="s">
        <v>30</v>
      </c>
    </row>
  </sheetData>
  <phoneticPr fontId="4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94AC-79FA-49D9-9C62-5774FE593A84}">
  <dimension ref="A1:P12"/>
  <sheetViews>
    <sheetView zoomScale="70" zoomScaleNormal="70" workbookViewId="0">
      <selection activeCell="F37" sqref="F37"/>
    </sheetView>
  </sheetViews>
  <sheetFormatPr defaultRowHeight="15"/>
  <cols>
    <col min="1" max="1" width="27.140625" customWidth="1"/>
  </cols>
  <sheetData>
    <row r="1" spans="1:16" ht="15" customHeight="1">
      <c r="A1" s="8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7"/>
      <c r="N1" s="7"/>
      <c r="O1" s="7"/>
      <c r="P1" s="7"/>
    </row>
    <row r="2" spans="1:16" ht="1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7"/>
      <c r="N2" s="7"/>
      <c r="O2" s="7"/>
      <c r="P2" s="7"/>
    </row>
    <row r="3" spans="1:16" ht="1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7"/>
      <c r="N3" s="7"/>
      <c r="O3" s="7"/>
      <c r="P3" s="7"/>
    </row>
    <row r="4" spans="1:16" ht="1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7"/>
      <c r="N4" s="7"/>
      <c r="O4" s="7"/>
      <c r="P4" s="7"/>
    </row>
    <row r="5" spans="1:16" ht="1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7"/>
      <c r="N5" s="7"/>
      <c r="O5" s="7"/>
      <c r="P5" s="7"/>
    </row>
    <row r="8" spans="1:16" ht="15.75" thickBot="1"/>
    <row r="9" spans="1:16">
      <c r="A9" s="11" t="s">
        <v>35</v>
      </c>
      <c r="B9" s="12" t="s">
        <v>7</v>
      </c>
    </row>
    <row r="10" spans="1:16">
      <c r="A10" s="13" t="s">
        <v>32</v>
      </c>
      <c r="B10" s="14" t="s">
        <v>13</v>
      </c>
    </row>
    <row r="11" spans="1:16">
      <c r="A11" s="13" t="s">
        <v>33</v>
      </c>
      <c r="B11" s="14">
        <v>5140.72</v>
      </c>
    </row>
    <row r="12" spans="1:16" ht="15.75" thickBot="1">
      <c r="A12" s="15" t="s">
        <v>34</v>
      </c>
      <c r="B12" s="16">
        <v>856.79</v>
      </c>
    </row>
  </sheetData>
  <mergeCells count="1">
    <mergeCell ref="A1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 baloch</dc:creator>
  <cp:lastModifiedBy>Rz baloch</cp:lastModifiedBy>
  <dcterms:created xsi:type="dcterms:W3CDTF">2026-03-10T07:15:07Z</dcterms:created>
  <dcterms:modified xsi:type="dcterms:W3CDTF">2026-03-10T18:18:37Z</dcterms:modified>
</cp:coreProperties>
</file>